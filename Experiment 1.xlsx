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7C3346FA-F6AD-4FFD-9ED2-79CE1448000A}" xr6:coauthVersionLast="47" xr6:coauthVersionMax="47" xr10:uidLastSave="{00000000-0000-0000-0000-000000000000}"/>
  <bookViews>
    <workbookView xWindow="-110" yWindow="-110" windowWidth="19420" windowHeight="11500" xr2:uid="{8B4AEC22-8DED-49E0-9D64-6AE3CC8A7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M2" i="1"/>
  <c r="N2" i="1"/>
  <c r="L2" i="1"/>
  <c r="J2" i="1"/>
  <c r="I2" i="1"/>
  <c r="H2" i="1"/>
  <c r="G2" i="1"/>
  <c r="L37" i="1"/>
  <c r="L36" i="1"/>
  <c r="L47" i="1"/>
  <c r="L42" i="1"/>
  <c r="L20" i="1"/>
  <c r="L29" i="1"/>
  <c r="L26" i="1"/>
  <c r="L23" i="1"/>
  <c r="L11" i="1"/>
  <c r="L16" i="1"/>
  <c r="L8" i="1"/>
  <c r="L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3" i="1"/>
  <c r="L5" i="1"/>
  <c r="L6" i="1"/>
  <c r="L7" i="1"/>
  <c r="L9" i="1"/>
  <c r="L10" i="1"/>
  <c r="L12" i="1"/>
  <c r="L13" i="1"/>
  <c r="L14" i="1"/>
  <c r="L15" i="1"/>
  <c r="L17" i="1"/>
  <c r="L18" i="1"/>
  <c r="L19" i="1"/>
  <c r="L21" i="1"/>
  <c r="L22" i="1"/>
  <c r="L24" i="1"/>
  <c r="L25" i="1"/>
  <c r="L27" i="1"/>
  <c r="L28" i="1"/>
  <c r="L30" i="1"/>
  <c r="L31" i="1"/>
  <c r="L32" i="1"/>
  <c r="L33" i="1"/>
  <c r="L34" i="1"/>
  <c r="L35" i="1"/>
  <c r="L38" i="1"/>
  <c r="L39" i="1"/>
  <c r="L40" i="1"/>
  <c r="L41" i="1"/>
  <c r="L43" i="1"/>
  <c r="L44" i="1"/>
  <c r="L45" i="1"/>
  <c r="L46" i="1"/>
  <c r="L48" i="1"/>
  <c r="L49" i="1"/>
  <c r="L50" i="1"/>
  <c r="L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</calcChain>
</file>

<file path=xl/sharedStrings.xml><?xml version="1.0" encoding="utf-8"?>
<sst xmlns="http://schemas.openxmlformats.org/spreadsheetml/2006/main" count="65" uniqueCount="65">
  <si>
    <t>Name</t>
  </si>
  <si>
    <t>AND</t>
  </si>
  <si>
    <t>OR</t>
  </si>
  <si>
    <t>IF ERROR</t>
  </si>
  <si>
    <t>IF</t>
  </si>
  <si>
    <t>English</t>
  </si>
  <si>
    <t>Maths</t>
  </si>
  <si>
    <t>Chemistry</t>
  </si>
  <si>
    <t>Biology</t>
  </si>
  <si>
    <t>Physics</t>
  </si>
  <si>
    <t>Aditi Verma</t>
  </si>
  <si>
    <t>Arjun Singh</t>
  </si>
  <si>
    <t>Ananya Gupta</t>
  </si>
  <si>
    <t>Rohan Mehta</t>
  </si>
  <si>
    <t>Priya Kapoor</t>
  </si>
  <si>
    <t>Karan Malhotra</t>
  </si>
  <si>
    <t>Sneha Joshi</t>
  </si>
  <si>
    <t>Rahul Kumar</t>
  </si>
  <si>
    <t>Neha Arora</t>
  </si>
  <si>
    <t>Vikram Patel</t>
  </si>
  <si>
    <t>Meera Iyer</t>
  </si>
  <si>
    <t>Yash Thakur</t>
  </si>
  <si>
    <t>Simran Kaur</t>
  </si>
  <si>
    <t>Aditya Rao</t>
  </si>
  <si>
    <t>Pooja Sharma</t>
  </si>
  <si>
    <t>Manish Yadav</t>
  </si>
  <si>
    <t>Nisha Patel</t>
  </si>
  <si>
    <t>Deepak Jain</t>
  </si>
  <si>
    <t>Kavya Mishra</t>
  </si>
  <si>
    <t>Aman Gupta</t>
  </si>
  <si>
    <t>Riya Sharma</t>
  </si>
  <si>
    <t>Mohit Bansal</t>
  </si>
  <si>
    <t>Tanya Sethi</t>
  </si>
  <si>
    <t>Harsh Verma</t>
  </si>
  <si>
    <t>Ishita Nair</t>
  </si>
  <si>
    <t>Dev Khanna</t>
  </si>
  <si>
    <t>Sakshi Arora</t>
  </si>
  <si>
    <t>Akash Sharma</t>
  </si>
  <si>
    <t>Muskan Kaur</t>
  </si>
  <si>
    <t>Nikhil Gupta</t>
  </si>
  <si>
    <t>Bhavya Jain</t>
  </si>
  <si>
    <t>Gaurav Singh</t>
  </si>
  <si>
    <t>Ritika Kapoor</t>
  </si>
  <si>
    <t>Sandeep Kumar</t>
  </si>
  <si>
    <t>Ayesha Khan</t>
  </si>
  <si>
    <t>Tushar Sharma</t>
  </si>
  <si>
    <t>Diya Mehta</t>
  </si>
  <si>
    <t>Rohit Yadav</t>
  </si>
  <si>
    <t>Khushi Verma</t>
  </si>
  <si>
    <t>Abhishek Das</t>
  </si>
  <si>
    <t>Sanjana Gupta</t>
  </si>
  <si>
    <t>Vivek Sharma</t>
  </si>
  <si>
    <t>Palak Arora</t>
  </si>
  <si>
    <t>Tarun Singh</t>
  </si>
  <si>
    <t>Nandini Joshi</t>
  </si>
  <si>
    <t>Chirag Malhotra</t>
  </si>
  <si>
    <t>Shruti Kapoor</t>
  </si>
  <si>
    <t>Varun Mehra</t>
  </si>
  <si>
    <t>Isha Gupta</t>
  </si>
  <si>
    <t>Aarav Singh</t>
  </si>
  <si>
    <t>NESTED IF</t>
  </si>
  <si>
    <t>NOT</t>
  </si>
  <si>
    <t>SUM IF</t>
  </si>
  <si>
    <t>COUNT IF</t>
  </si>
  <si>
    <t>AVERAGE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</si>
</sst>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43A0-6B0A-49BE-9854-A253FF406DD8}">
  <dimension ref="A1:O53"/>
  <sheetViews>
    <sheetView tabSelected="1" zoomScaleNormal="100" workbookViewId="0">
      <selection activeCell="O2" sqref="O2"/>
    </sheetView>
  </sheetViews>
  <sheetFormatPr defaultRowHeight="14.5" x14ac:dyDescent="0.35"/>
  <cols>
    <col min="1" max="1" width="15.36328125" customWidth="1"/>
    <col min="2" max="2" width="11.1796875" customWidth="1"/>
    <col min="4" max="4" width="10" customWidth="1"/>
    <col min="5" max="5" width="15.453125" customWidth="1"/>
    <col min="6" max="6" width="11" customWidth="1"/>
    <col min="7" max="7" width="8.7265625" customWidth="1"/>
    <col min="8" max="8" width="11" customWidth="1"/>
    <col min="9" max="9" width="11.90625" customWidth="1"/>
    <col min="10" max="10" width="10.26953125" customWidth="1"/>
    <col min="12" max="12" width="10.6328125" customWidth="1"/>
    <col min="15" max="15" width="10.54296875" customWidth="1"/>
  </cols>
  <sheetData>
    <row r="1" spans="1:15" ht="20" customHeight="1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4</v>
      </c>
      <c r="H1" s="1" t="s">
        <v>60</v>
      </c>
      <c r="I1" s="1" t="s">
        <v>1</v>
      </c>
      <c r="J1" s="1" t="s">
        <v>2</v>
      </c>
      <c r="K1" s="1" t="s">
        <v>61</v>
      </c>
      <c r="L1" s="1" t="s">
        <v>3</v>
      </c>
      <c r="M1" s="1" t="s">
        <v>62</v>
      </c>
      <c r="N1" s="1" t="s">
        <v>63</v>
      </c>
      <c r="O1" s="1" t="s">
        <v>64</v>
      </c>
    </row>
    <row r="2" spans="1:15" ht="20" customHeight="1" x14ac:dyDescent="0.35">
      <c r="A2" s="2" t="s">
        <v>59</v>
      </c>
      <c r="B2" s="3">
        <v>78</v>
      </c>
      <c r="C2" s="3">
        <v>85</v>
      </c>
      <c r="D2" s="3">
        <v>82</v>
      </c>
      <c r="E2" s="3">
        <v>90</v>
      </c>
      <c r="F2" s="3">
        <v>76</v>
      </c>
      <c r="G2" s="2" t="str">
        <f>IF(B2&gt;=35,"PASS","FAIL")</f>
        <v>PASS</v>
      </c>
      <c r="H2" s="2" t="str">
        <f>IF(C2&gt;=80,"EXCELLENT",IF(C2&gt;=60,"GOOD",IF(C2&gt;=50,"AVERAGE",IF(C2&gt;=30,"FAIL","POOR"))))</f>
        <v>EXCELLENT</v>
      </c>
      <c r="I2" s="2" t="str">
        <f>IF(AND(C2&gt;=40,D2&gt;=40),"Eligible","Not Eligible")</f>
        <v>Eligible</v>
      </c>
      <c r="J2" s="2" t="str">
        <f>IF(OR(E2&gt;=90,F2&gt;=90),"Excellent","Good")</f>
        <v>Excellent</v>
      </c>
      <c r="K2" s="2" t="str">
        <f>IF(NOT(E2&gt;=35),"Fail","Pass")</f>
        <v>Pass</v>
      </c>
      <c r="L2" s="2" t="e">
        <f>IF(D2/0,"ERROR","NO ERROR")</f>
        <v>#DIV/0!</v>
      </c>
      <c r="M2" s="2">
        <f>SUMIF(B2:F2,"&gt;=70",B2:F2)</f>
        <v>411</v>
      </c>
      <c r="N2" s="2">
        <f>COUNTIF(B2:F2,"&gt;=70")</f>
        <v>5</v>
      </c>
      <c r="O2" s="2">
        <f>AVERAGEIF(B2:F2,"&gt;=30",B2:F2)</f>
        <v>82.2</v>
      </c>
    </row>
    <row r="3" spans="1:15" ht="20" customHeight="1" x14ac:dyDescent="0.35">
      <c r="A3" s="3" t="s">
        <v>10</v>
      </c>
      <c r="B3" s="3">
        <v>88</v>
      </c>
      <c r="C3" s="3">
        <v>91</v>
      </c>
      <c r="D3" s="3">
        <v>86</v>
      </c>
      <c r="E3" s="3">
        <v>95</v>
      </c>
      <c r="F3" s="3">
        <v>67</v>
      </c>
      <c r="G3" s="2" t="str">
        <f t="shared" ref="G3:G51" si="0">IF(B3&gt;=35,"PASS","FAIL")</f>
        <v>PASS</v>
      </c>
      <c r="H3" s="2" t="str">
        <f t="shared" ref="H3:H51" si="1">IF(C3&gt;=80,"EXCELLENT",IF(C3&gt;=60,"GOOD",IF(C3&gt;=50,"AVERAGE",IF(C3&gt;=30,"FAIL","POOR"))))</f>
        <v>EXCELLENT</v>
      </c>
      <c r="I3" s="2" t="str">
        <f t="shared" ref="I3:I51" si="2">IF(AND(C3&gt;=40,D3&gt;=40),"Eligible","Not Eligible")</f>
        <v>Eligible</v>
      </c>
      <c r="J3" s="2" t="str">
        <f t="shared" ref="J3:J51" si="3">IF(OR(E3&gt;=90,F3&gt;=90),"Excellent","Good")</f>
        <v>Excellent</v>
      </c>
      <c r="K3" s="2" t="str">
        <f t="shared" ref="K3:K51" si="4">IF(NOT(E3&gt;=35),"Fail","Pass")</f>
        <v>Pass</v>
      </c>
      <c r="L3" s="2" t="e">
        <f t="shared" ref="L3:L51" si="5">IF(D3/0,"ERROR","NO ERROR")</f>
        <v>#DIV/0!</v>
      </c>
      <c r="M3" s="2">
        <f t="shared" ref="M3:M51" si="6">SUMIF(B3:F3,"&gt;=70",B3:F3)</f>
        <v>360</v>
      </c>
      <c r="N3" s="2">
        <f t="shared" ref="N3:N51" si="7">COUNTIF(B3:F3,"&gt;=70")</f>
        <v>4</v>
      </c>
      <c r="O3" s="2">
        <f t="shared" ref="O3:O51" si="8">AVERAGEIF(B3:F3,"&gt;=30",B3:F3)</f>
        <v>85.4</v>
      </c>
    </row>
    <row r="4" spans="1:15" ht="20" customHeight="1" x14ac:dyDescent="0.35">
      <c r="A4" s="3" t="s">
        <v>11</v>
      </c>
      <c r="B4" s="3">
        <v>42</v>
      </c>
      <c r="C4" s="3">
        <v>68</v>
      </c>
      <c r="D4" s="3">
        <v>38</v>
      </c>
      <c r="E4" s="3">
        <v>80</v>
      </c>
      <c r="F4" s="3">
        <v>70</v>
      </c>
      <c r="G4" s="2" t="str">
        <f t="shared" si="0"/>
        <v>PASS</v>
      </c>
      <c r="H4" s="2" t="str">
        <f t="shared" si="1"/>
        <v>GOOD</v>
      </c>
      <c r="I4" s="2" t="str">
        <f t="shared" si="2"/>
        <v>Not Eligible</v>
      </c>
      <c r="J4" s="2" t="str">
        <f t="shared" si="3"/>
        <v>Good</v>
      </c>
      <c r="K4" s="2" t="str">
        <f t="shared" si="4"/>
        <v>Pass</v>
      </c>
      <c r="L4" s="2" t="str">
        <f>IF(D4/2,"ERROR","NO ERROR")</f>
        <v>ERROR</v>
      </c>
      <c r="M4" s="2">
        <f t="shared" si="6"/>
        <v>150</v>
      </c>
      <c r="N4" s="2">
        <f t="shared" si="7"/>
        <v>2</v>
      </c>
      <c r="O4" s="2">
        <f t="shared" si="8"/>
        <v>59.6</v>
      </c>
    </row>
    <row r="5" spans="1:15" ht="20" customHeight="1" x14ac:dyDescent="0.35">
      <c r="A5" s="3" t="s">
        <v>12</v>
      </c>
      <c r="B5" s="3">
        <v>95</v>
      </c>
      <c r="C5" s="3">
        <v>94</v>
      </c>
      <c r="D5" s="3">
        <v>96</v>
      </c>
      <c r="E5" s="3">
        <v>98</v>
      </c>
      <c r="F5" s="3">
        <v>92</v>
      </c>
      <c r="G5" s="2" t="str">
        <f t="shared" si="0"/>
        <v>PASS</v>
      </c>
      <c r="H5" s="2" t="str">
        <f t="shared" si="1"/>
        <v>EXCELLENT</v>
      </c>
      <c r="I5" s="2" t="str">
        <f t="shared" si="2"/>
        <v>Eligible</v>
      </c>
      <c r="J5" s="2" t="str">
        <f t="shared" si="3"/>
        <v>Excellent</v>
      </c>
      <c r="K5" s="2" t="str">
        <f t="shared" si="4"/>
        <v>Pass</v>
      </c>
      <c r="L5" s="2" t="e">
        <f t="shared" si="5"/>
        <v>#DIV/0!</v>
      </c>
      <c r="M5" s="2">
        <f t="shared" si="6"/>
        <v>475</v>
      </c>
      <c r="N5" s="2">
        <f t="shared" si="7"/>
        <v>5</v>
      </c>
      <c r="O5" s="2">
        <f t="shared" si="8"/>
        <v>95</v>
      </c>
    </row>
    <row r="6" spans="1:15" ht="20" customHeight="1" x14ac:dyDescent="0.35">
      <c r="A6" s="3" t="s">
        <v>13</v>
      </c>
      <c r="B6" s="3">
        <v>35</v>
      </c>
      <c r="C6" s="3">
        <v>28</v>
      </c>
      <c r="D6" s="3">
        <v>40</v>
      </c>
      <c r="E6" s="3">
        <v>75</v>
      </c>
      <c r="F6" s="3">
        <v>32</v>
      </c>
      <c r="G6" s="2" t="str">
        <f t="shared" si="0"/>
        <v>PASS</v>
      </c>
      <c r="H6" s="2" t="str">
        <f t="shared" si="1"/>
        <v>POOR</v>
      </c>
      <c r="I6" s="2" t="str">
        <f t="shared" si="2"/>
        <v>Not Eligible</v>
      </c>
      <c r="J6" s="2" t="str">
        <f t="shared" si="3"/>
        <v>Good</v>
      </c>
      <c r="K6" s="2" t="str">
        <f t="shared" si="4"/>
        <v>Pass</v>
      </c>
      <c r="L6" s="2" t="e">
        <f t="shared" si="5"/>
        <v>#DIV/0!</v>
      </c>
      <c r="M6" s="2">
        <f t="shared" si="6"/>
        <v>75</v>
      </c>
      <c r="N6" s="2">
        <f t="shared" si="7"/>
        <v>1</v>
      </c>
      <c r="O6" s="2">
        <f t="shared" si="8"/>
        <v>45.5</v>
      </c>
    </row>
    <row r="7" spans="1:15" ht="20" customHeight="1" x14ac:dyDescent="0.35">
      <c r="A7" s="3" t="s">
        <v>14</v>
      </c>
      <c r="B7" s="3">
        <v>84</v>
      </c>
      <c r="C7" s="3">
        <v>88</v>
      </c>
      <c r="D7" s="3">
        <v>90</v>
      </c>
      <c r="E7" s="3">
        <v>91</v>
      </c>
      <c r="F7" s="3">
        <v>85</v>
      </c>
      <c r="G7" s="2" t="str">
        <f t="shared" si="0"/>
        <v>PASS</v>
      </c>
      <c r="H7" s="2" t="str">
        <f t="shared" si="1"/>
        <v>EXCELLENT</v>
      </c>
      <c r="I7" s="2" t="str">
        <f t="shared" si="2"/>
        <v>Eligible</v>
      </c>
      <c r="J7" s="2" t="str">
        <f t="shared" si="3"/>
        <v>Excellent</v>
      </c>
      <c r="K7" s="2" t="str">
        <f t="shared" si="4"/>
        <v>Pass</v>
      </c>
      <c r="L7" s="2" t="e">
        <f t="shared" si="5"/>
        <v>#DIV/0!</v>
      </c>
      <c r="M7" s="2">
        <f t="shared" si="6"/>
        <v>438</v>
      </c>
      <c r="N7" s="2">
        <f t="shared" si="7"/>
        <v>5</v>
      </c>
      <c r="O7" s="2">
        <f t="shared" si="8"/>
        <v>87.6</v>
      </c>
    </row>
    <row r="8" spans="1:15" ht="20" customHeight="1" x14ac:dyDescent="0.35">
      <c r="A8" s="3" t="s">
        <v>15</v>
      </c>
      <c r="B8" s="3">
        <v>76</v>
      </c>
      <c r="C8" s="3">
        <v>79</v>
      </c>
      <c r="D8" s="3">
        <v>81</v>
      </c>
      <c r="E8" s="3">
        <v>78</v>
      </c>
      <c r="F8" s="3">
        <v>74</v>
      </c>
      <c r="G8" s="2" t="str">
        <f t="shared" si="0"/>
        <v>PASS</v>
      </c>
      <c r="H8" s="2" t="str">
        <f t="shared" si="1"/>
        <v>GOOD</v>
      </c>
      <c r="I8" s="2" t="str">
        <f t="shared" si="2"/>
        <v>Eligible</v>
      </c>
      <c r="J8" s="2" t="str">
        <f t="shared" si="3"/>
        <v>Good</v>
      </c>
      <c r="K8" s="2" t="str">
        <f t="shared" si="4"/>
        <v>Pass</v>
      </c>
      <c r="L8" s="2" t="str">
        <f>IF(D8/2,"ERROR","NO ERROR")</f>
        <v>ERROR</v>
      </c>
      <c r="M8" s="2">
        <f t="shared" si="6"/>
        <v>388</v>
      </c>
      <c r="N8" s="2">
        <f t="shared" si="7"/>
        <v>5</v>
      </c>
      <c r="O8" s="2">
        <f t="shared" si="8"/>
        <v>77.599999999999994</v>
      </c>
    </row>
    <row r="9" spans="1:15" ht="20" customHeight="1" x14ac:dyDescent="0.35">
      <c r="A9" s="3" t="s">
        <v>16</v>
      </c>
      <c r="B9" s="3">
        <v>91</v>
      </c>
      <c r="C9" s="3">
        <v>93</v>
      </c>
      <c r="D9" s="3">
        <v>92</v>
      </c>
      <c r="E9" s="3">
        <v>96</v>
      </c>
      <c r="F9" s="3">
        <v>90</v>
      </c>
      <c r="G9" s="2" t="str">
        <f t="shared" si="0"/>
        <v>PASS</v>
      </c>
      <c r="H9" s="2" t="str">
        <f t="shared" si="1"/>
        <v>EXCELLENT</v>
      </c>
      <c r="I9" s="2" t="str">
        <f t="shared" si="2"/>
        <v>Eligible</v>
      </c>
      <c r="J9" s="2" t="str">
        <f t="shared" si="3"/>
        <v>Excellent</v>
      </c>
      <c r="K9" s="2" t="str">
        <f t="shared" si="4"/>
        <v>Pass</v>
      </c>
      <c r="L9" s="2" t="e">
        <f t="shared" si="5"/>
        <v>#DIV/0!</v>
      </c>
      <c r="M9" s="2">
        <f t="shared" si="6"/>
        <v>462</v>
      </c>
      <c r="N9" s="2">
        <f t="shared" si="7"/>
        <v>5</v>
      </c>
      <c r="O9" s="2">
        <f t="shared" si="8"/>
        <v>92.4</v>
      </c>
    </row>
    <row r="10" spans="1:15" ht="20" customHeight="1" x14ac:dyDescent="0.35">
      <c r="A10" s="3" t="s">
        <v>17</v>
      </c>
      <c r="B10" s="3">
        <v>29</v>
      </c>
      <c r="C10" s="3">
        <v>34</v>
      </c>
      <c r="D10" s="3">
        <v>31</v>
      </c>
      <c r="E10" s="3">
        <v>45</v>
      </c>
      <c r="F10" s="3">
        <v>27</v>
      </c>
      <c r="G10" s="2" t="str">
        <f t="shared" si="0"/>
        <v>FAIL</v>
      </c>
      <c r="H10" s="2" t="str">
        <f t="shared" si="1"/>
        <v>FAIL</v>
      </c>
      <c r="I10" s="2" t="str">
        <f t="shared" si="2"/>
        <v>Not Eligible</v>
      </c>
      <c r="J10" s="2" t="str">
        <f t="shared" si="3"/>
        <v>Good</v>
      </c>
      <c r="K10" s="2" t="str">
        <f t="shared" si="4"/>
        <v>Pass</v>
      </c>
      <c r="L10" s="2" t="e">
        <f t="shared" si="5"/>
        <v>#DIV/0!</v>
      </c>
      <c r="M10" s="2">
        <f t="shared" si="6"/>
        <v>0</v>
      </c>
      <c r="N10" s="2">
        <f t="shared" si="7"/>
        <v>0</v>
      </c>
      <c r="O10" s="2">
        <f t="shared" si="8"/>
        <v>36.666666666666664</v>
      </c>
    </row>
    <row r="11" spans="1:15" ht="20" customHeight="1" x14ac:dyDescent="0.35">
      <c r="A11" s="3" t="s">
        <v>18</v>
      </c>
      <c r="B11" s="3">
        <v>70</v>
      </c>
      <c r="C11" s="3">
        <v>86</v>
      </c>
      <c r="D11" s="3">
        <v>84</v>
      </c>
      <c r="E11" s="3">
        <v>88</v>
      </c>
      <c r="F11" s="3">
        <v>82</v>
      </c>
      <c r="G11" s="2" t="str">
        <f t="shared" si="0"/>
        <v>PASS</v>
      </c>
      <c r="H11" s="2" t="str">
        <f t="shared" si="1"/>
        <v>EXCELLENT</v>
      </c>
      <c r="I11" s="2" t="str">
        <f t="shared" si="2"/>
        <v>Eligible</v>
      </c>
      <c r="J11" s="2" t="str">
        <f t="shared" si="3"/>
        <v>Good</v>
      </c>
      <c r="K11" s="2" t="str">
        <f t="shared" si="4"/>
        <v>Pass</v>
      </c>
      <c r="L11" s="2" t="str">
        <f>IF(D11/2,"ERROR","NO ERROR")</f>
        <v>ERROR</v>
      </c>
      <c r="M11" s="2">
        <f t="shared" si="6"/>
        <v>410</v>
      </c>
      <c r="N11" s="2">
        <f t="shared" si="7"/>
        <v>5</v>
      </c>
      <c r="O11" s="2">
        <f t="shared" si="8"/>
        <v>82</v>
      </c>
    </row>
    <row r="12" spans="1:15" ht="20" customHeight="1" x14ac:dyDescent="0.35">
      <c r="A12" s="3" t="s">
        <v>19</v>
      </c>
      <c r="B12" s="3">
        <v>48</v>
      </c>
      <c r="C12" s="3">
        <v>46</v>
      </c>
      <c r="D12" s="3">
        <v>44</v>
      </c>
      <c r="E12" s="3">
        <v>39</v>
      </c>
      <c r="F12" s="3">
        <v>41</v>
      </c>
      <c r="G12" s="2" t="str">
        <f t="shared" si="0"/>
        <v>PASS</v>
      </c>
      <c r="H12" s="2" t="str">
        <f t="shared" si="1"/>
        <v>FAIL</v>
      </c>
      <c r="I12" s="2" t="str">
        <f t="shared" si="2"/>
        <v>Eligible</v>
      </c>
      <c r="J12" s="2" t="str">
        <f t="shared" si="3"/>
        <v>Good</v>
      </c>
      <c r="K12" s="2" t="str">
        <f t="shared" si="4"/>
        <v>Pass</v>
      </c>
      <c r="L12" s="2" t="e">
        <f t="shared" si="5"/>
        <v>#DIV/0!</v>
      </c>
      <c r="M12" s="2">
        <f t="shared" si="6"/>
        <v>0</v>
      </c>
      <c r="N12" s="2">
        <f t="shared" si="7"/>
        <v>0</v>
      </c>
      <c r="O12" s="2">
        <f t="shared" si="8"/>
        <v>43.6</v>
      </c>
    </row>
    <row r="13" spans="1:15" ht="20" customHeight="1" x14ac:dyDescent="0.35">
      <c r="A13" s="3" t="s">
        <v>20</v>
      </c>
      <c r="B13" s="3">
        <v>92</v>
      </c>
      <c r="C13" s="3">
        <v>95</v>
      </c>
      <c r="D13" s="3">
        <v>94</v>
      </c>
      <c r="E13" s="3">
        <v>80</v>
      </c>
      <c r="F13" s="3">
        <v>93</v>
      </c>
      <c r="G13" s="2" t="str">
        <f t="shared" si="0"/>
        <v>PASS</v>
      </c>
      <c r="H13" s="2" t="str">
        <f t="shared" si="1"/>
        <v>EXCELLENT</v>
      </c>
      <c r="I13" s="2" t="str">
        <f t="shared" si="2"/>
        <v>Eligible</v>
      </c>
      <c r="J13" s="2" t="str">
        <f t="shared" si="3"/>
        <v>Excellent</v>
      </c>
      <c r="K13" s="2" t="str">
        <f t="shared" si="4"/>
        <v>Pass</v>
      </c>
      <c r="L13" s="2" t="e">
        <f t="shared" si="5"/>
        <v>#DIV/0!</v>
      </c>
      <c r="M13" s="2">
        <f t="shared" si="6"/>
        <v>454</v>
      </c>
      <c r="N13" s="2">
        <f t="shared" si="7"/>
        <v>5</v>
      </c>
      <c r="O13" s="2">
        <f t="shared" si="8"/>
        <v>90.8</v>
      </c>
    </row>
    <row r="14" spans="1:15" ht="20" customHeight="1" x14ac:dyDescent="0.35">
      <c r="A14" s="3" t="s">
        <v>21</v>
      </c>
      <c r="B14" s="3">
        <v>80</v>
      </c>
      <c r="C14" s="3">
        <v>82</v>
      </c>
      <c r="D14" s="3">
        <v>78</v>
      </c>
      <c r="E14" s="3">
        <v>84</v>
      </c>
      <c r="F14" s="3">
        <v>79</v>
      </c>
      <c r="G14" s="2" t="str">
        <f t="shared" si="0"/>
        <v>PASS</v>
      </c>
      <c r="H14" s="2" t="str">
        <f t="shared" si="1"/>
        <v>EXCELLENT</v>
      </c>
      <c r="I14" s="2" t="str">
        <f t="shared" si="2"/>
        <v>Eligible</v>
      </c>
      <c r="J14" s="2" t="str">
        <f t="shared" si="3"/>
        <v>Good</v>
      </c>
      <c r="K14" s="2" t="str">
        <f t="shared" si="4"/>
        <v>Pass</v>
      </c>
      <c r="L14" s="2" t="e">
        <f t="shared" si="5"/>
        <v>#DIV/0!</v>
      </c>
      <c r="M14" s="2">
        <f t="shared" si="6"/>
        <v>403</v>
      </c>
      <c r="N14" s="2">
        <f t="shared" si="7"/>
        <v>5</v>
      </c>
      <c r="O14" s="2">
        <f t="shared" si="8"/>
        <v>80.599999999999994</v>
      </c>
    </row>
    <row r="15" spans="1:15" ht="20" customHeight="1" x14ac:dyDescent="0.35">
      <c r="A15" s="3" t="s">
        <v>22</v>
      </c>
      <c r="B15" s="3">
        <v>89</v>
      </c>
      <c r="C15" s="3">
        <v>87</v>
      </c>
      <c r="D15" s="3">
        <v>90</v>
      </c>
      <c r="E15" s="3">
        <v>92</v>
      </c>
      <c r="F15" s="3">
        <v>88</v>
      </c>
      <c r="G15" s="2" t="str">
        <f t="shared" si="0"/>
        <v>PASS</v>
      </c>
      <c r="H15" s="2" t="str">
        <f t="shared" si="1"/>
        <v>EXCELLENT</v>
      </c>
      <c r="I15" s="2" t="str">
        <f t="shared" si="2"/>
        <v>Eligible</v>
      </c>
      <c r="J15" s="2" t="str">
        <f t="shared" si="3"/>
        <v>Excellent</v>
      </c>
      <c r="K15" s="2" t="str">
        <f t="shared" si="4"/>
        <v>Pass</v>
      </c>
      <c r="L15" s="2" t="e">
        <f t="shared" si="5"/>
        <v>#DIV/0!</v>
      </c>
      <c r="M15" s="2">
        <f t="shared" si="6"/>
        <v>446</v>
      </c>
      <c r="N15" s="2">
        <f t="shared" si="7"/>
        <v>5</v>
      </c>
      <c r="O15" s="2">
        <f t="shared" si="8"/>
        <v>89.2</v>
      </c>
    </row>
    <row r="16" spans="1:15" ht="20" customHeight="1" x14ac:dyDescent="0.35">
      <c r="A16" s="3" t="s">
        <v>23</v>
      </c>
      <c r="B16" s="3">
        <v>25</v>
      </c>
      <c r="C16" s="3">
        <v>37</v>
      </c>
      <c r="D16" s="3">
        <v>42</v>
      </c>
      <c r="E16" s="3">
        <v>30</v>
      </c>
      <c r="F16" s="3">
        <v>39</v>
      </c>
      <c r="G16" s="2" t="str">
        <f t="shared" si="0"/>
        <v>FAIL</v>
      </c>
      <c r="H16" s="2" t="str">
        <f t="shared" si="1"/>
        <v>FAIL</v>
      </c>
      <c r="I16" s="2" t="str">
        <f t="shared" si="2"/>
        <v>Not Eligible</v>
      </c>
      <c r="J16" s="2" t="str">
        <f t="shared" si="3"/>
        <v>Good</v>
      </c>
      <c r="K16" s="2" t="str">
        <f t="shared" si="4"/>
        <v>Fail</v>
      </c>
      <c r="L16" s="2" t="str">
        <f>IF(D16/2,"ERROR","NO ERROR")</f>
        <v>ERROR</v>
      </c>
      <c r="M16" s="2">
        <f t="shared" si="6"/>
        <v>0</v>
      </c>
      <c r="N16" s="2">
        <f t="shared" si="7"/>
        <v>0</v>
      </c>
      <c r="O16" s="2">
        <f t="shared" si="8"/>
        <v>37</v>
      </c>
    </row>
    <row r="17" spans="1:15" ht="20" customHeight="1" x14ac:dyDescent="0.35">
      <c r="A17" s="3" t="s">
        <v>24</v>
      </c>
      <c r="B17" s="3">
        <v>86</v>
      </c>
      <c r="C17" s="3">
        <v>90</v>
      </c>
      <c r="D17" s="3">
        <v>88</v>
      </c>
      <c r="E17" s="3">
        <v>70</v>
      </c>
      <c r="F17" s="3">
        <v>87</v>
      </c>
      <c r="G17" s="2" t="str">
        <f t="shared" si="0"/>
        <v>PASS</v>
      </c>
      <c r="H17" s="2" t="str">
        <f t="shared" si="1"/>
        <v>EXCELLENT</v>
      </c>
      <c r="I17" s="2" t="str">
        <f t="shared" si="2"/>
        <v>Eligible</v>
      </c>
      <c r="J17" s="2" t="str">
        <f t="shared" si="3"/>
        <v>Good</v>
      </c>
      <c r="K17" s="2" t="str">
        <f t="shared" si="4"/>
        <v>Pass</v>
      </c>
      <c r="L17" s="2" t="e">
        <f t="shared" si="5"/>
        <v>#DIV/0!</v>
      </c>
      <c r="M17" s="2">
        <f t="shared" si="6"/>
        <v>421</v>
      </c>
      <c r="N17" s="2">
        <f t="shared" si="7"/>
        <v>5</v>
      </c>
      <c r="O17" s="2">
        <f t="shared" si="8"/>
        <v>84.2</v>
      </c>
    </row>
    <row r="18" spans="1:15" ht="20" customHeight="1" x14ac:dyDescent="0.35">
      <c r="A18" s="3" t="s">
        <v>25</v>
      </c>
      <c r="B18" s="3">
        <v>47</v>
      </c>
      <c r="C18" s="3">
        <v>33</v>
      </c>
      <c r="D18" s="3">
        <v>36</v>
      </c>
      <c r="E18" s="3">
        <v>41</v>
      </c>
      <c r="F18" s="3">
        <v>29</v>
      </c>
      <c r="G18" s="2" t="str">
        <f t="shared" si="0"/>
        <v>PASS</v>
      </c>
      <c r="H18" s="2" t="str">
        <f t="shared" si="1"/>
        <v>FAIL</v>
      </c>
      <c r="I18" s="2" t="str">
        <f t="shared" si="2"/>
        <v>Not Eligible</v>
      </c>
      <c r="J18" s="2" t="str">
        <f t="shared" si="3"/>
        <v>Good</v>
      </c>
      <c r="K18" s="2" t="str">
        <f t="shared" si="4"/>
        <v>Pass</v>
      </c>
      <c r="L18" s="2" t="e">
        <f t="shared" si="5"/>
        <v>#DIV/0!</v>
      </c>
      <c r="M18" s="2">
        <f t="shared" si="6"/>
        <v>0</v>
      </c>
      <c r="N18" s="2">
        <f t="shared" si="7"/>
        <v>0</v>
      </c>
      <c r="O18" s="2">
        <f t="shared" si="8"/>
        <v>39.25</v>
      </c>
    </row>
    <row r="19" spans="1:15" ht="20" customHeight="1" x14ac:dyDescent="0.35">
      <c r="A19" s="3" t="s">
        <v>26</v>
      </c>
      <c r="B19" s="3">
        <v>90</v>
      </c>
      <c r="C19" s="3">
        <v>92</v>
      </c>
      <c r="D19" s="3">
        <v>91</v>
      </c>
      <c r="E19" s="3">
        <v>60</v>
      </c>
      <c r="F19" s="3">
        <v>89</v>
      </c>
      <c r="G19" s="2" t="str">
        <f t="shared" si="0"/>
        <v>PASS</v>
      </c>
      <c r="H19" s="2" t="str">
        <f t="shared" si="1"/>
        <v>EXCELLENT</v>
      </c>
      <c r="I19" s="2" t="str">
        <f t="shared" si="2"/>
        <v>Eligible</v>
      </c>
      <c r="J19" s="2" t="str">
        <f t="shared" si="3"/>
        <v>Good</v>
      </c>
      <c r="K19" s="2" t="str">
        <f t="shared" si="4"/>
        <v>Pass</v>
      </c>
      <c r="L19" s="2" t="e">
        <f t="shared" si="5"/>
        <v>#DIV/0!</v>
      </c>
      <c r="M19" s="2">
        <f t="shared" si="6"/>
        <v>362</v>
      </c>
      <c r="N19" s="2">
        <f t="shared" si="7"/>
        <v>4</v>
      </c>
      <c r="O19" s="2">
        <f t="shared" si="8"/>
        <v>84.4</v>
      </c>
    </row>
    <row r="20" spans="1:15" ht="20" customHeight="1" x14ac:dyDescent="0.35">
      <c r="A20" s="3" t="s">
        <v>27</v>
      </c>
      <c r="B20" s="3">
        <v>77</v>
      </c>
      <c r="C20" s="3">
        <v>80</v>
      </c>
      <c r="D20" s="3">
        <v>79</v>
      </c>
      <c r="E20" s="3">
        <v>83</v>
      </c>
      <c r="F20" s="3">
        <v>76</v>
      </c>
      <c r="G20" s="2" t="str">
        <f t="shared" si="0"/>
        <v>PASS</v>
      </c>
      <c r="H20" s="2" t="str">
        <f t="shared" si="1"/>
        <v>EXCELLENT</v>
      </c>
      <c r="I20" s="2" t="str">
        <f t="shared" si="2"/>
        <v>Eligible</v>
      </c>
      <c r="J20" s="2" t="str">
        <f t="shared" si="3"/>
        <v>Good</v>
      </c>
      <c r="K20" s="2" t="str">
        <f t="shared" si="4"/>
        <v>Pass</v>
      </c>
      <c r="L20" s="2" t="str">
        <f>IF(D20/4,"ERROR","NO ERROR")</f>
        <v>ERROR</v>
      </c>
      <c r="M20" s="2">
        <f t="shared" si="6"/>
        <v>395</v>
      </c>
      <c r="N20" s="2">
        <f t="shared" si="7"/>
        <v>5</v>
      </c>
      <c r="O20" s="2">
        <f t="shared" si="8"/>
        <v>79</v>
      </c>
    </row>
    <row r="21" spans="1:15" ht="20" customHeight="1" x14ac:dyDescent="0.35">
      <c r="A21" s="3" t="s">
        <v>28</v>
      </c>
      <c r="B21" s="3">
        <v>93</v>
      </c>
      <c r="C21" s="3">
        <v>94</v>
      </c>
      <c r="D21" s="3">
        <v>95</v>
      </c>
      <c r="E21" s="3">
        <v>97</v>
      </c>
      <c r="F21" s="3">
        <v>92</v>
      </c>
      <c r="G21" s="2" t="str">
        <f t="shared" si="0"/>
        <v>PASS</v>
      </c>
      <c r="H21" s="2" t="str">
        <f t="shared" si="1"/>
        <v>EXCELLENT</v>
      </c>
      <c r="I21" s="2" t="str">
        <f t="shared" si="2"/>
        <v>Eligible</v>
      </c>
      <c r="J21" s="2" t="str">
        <f t="shared" si="3"/>
        <v>Excellent</v>
      </c>
      <c r="K21" s="2" t="str">
        <f t="shared" si="4"/>
        <v>Pass</v>
      </c>
      <c r="L21" s="2" t="e">
        <f t="shared" si="5"/>
        <v>#DIV/0!</v>
      </c>
      <c r="M21" s="2">
        <f t="shared" si="6"/>
        <v>471</v>
      </c>
      <c r="N21" s="2">
        <f t="shared" si="7"/>
        <v>5</v>
      </c>
      <c r="O21" s="2">
        <f t="shared" si="8"/>
        <v>94.2</v>
      </c>
    </row>
    <row r="22" spans="1:15" ht="20" customHeight="1" x14ac:dyDescent="0.35">
      <c r="A22" s="3" t="s">
        <v>29</v>
      </c>
      <c r="B22" s="3">
        <v>44</v>
      </c>
      <c r="C22" s="3">
        <v>38</v>
      </c>
      <c r="D22" s="3">
        <v>49</v>
      </c>
      <c r="E22" s="3">
        <v>36</v>
      </c>
      <c r="F22" s="3">
        <v>43</v>
      </c>
      <c r="G22" s="2" t="str">
        <f t="shared" si="0"/>
        <v>PASS</v>
      </c>
      <c r="H22" s="2" t="str">
        <f t="shared" si="1"/>
        <v>FAIL</v>
      </c>
      <c r="I22" s="2" t="str">
        <f t="shared" si="2"/>
        <v>Not Eligible</v>
      </c>
      <c r="J22" s="2" t="str">
        <f t="shared" si="3"/>
        <v>Good</v>
      </c>
      <c r="K22" s="2" t="str">
        <f t="shared" si="4"/>
        <v>Pass</v>
      </c>
      <c r="L22" s="2" t="e">
        <f t="shared" si="5"/>
        <v>#DIV/0!</v>
      </c>
      <c r="M22" s="2">
        <f t="shared" si="6"/>
        <v>0</v>
      </c>
      <c r="N22" s="2">
        <f t="shared" si="7"/>
        <v>0</v>
      </c>
      <c r="O22" s="2">
        <f t="shared" si="8"/>
        <v>42</v>
      </c>
    </row>
    <row r="23" spans="1:15" ht="20" customHeight="1" x14ac:dyDescent="0.35">
      <c r="A23" s="3" t="s">
        <v>30</v>
      </c>
      <c r="B23" s="3">
        <v>87</v>
      </c>
      <c r="C23" s="3">
        <v>89</v>
      </c>
      <c r="D23" s="3">
        <v>88</v>
      </c>
      <c r="E23" s="3">
        <v>78</v>
      </c>
      <c r="F23" s="3">
        <v>86</v>
      </c>
      <c r="G23" s="2" t="str">
        <f t="shared" si="0"/>
        <v>PASS</v>
      </c>
      <c r="H23" s="2" t="str">
        <f t="shared" si="1"/>
        <v>EXCELLENT</v>
      </c>
      <c r="I23" s="2" t="str">
        <f t="shared" si="2"/>
        <v>Eligible</v>
      </c>
      <c r="J23" s="2" t="str">
        <f t="shared" si="3"/>
        <v>Good</v>
      </c>
      <c r="K23" s="2" t="str">
        <f t="shared" si="4"/>
        <v>Pass</v>
      </c>
      <c r="L23" s="2" t="str">
        <f>IF(D23/2,"ERROR","NO ERROR")</f>
        <v>ERROR</v>
      </c>
      <c r="M23" s="2">
        <f t="shared" si="6"/>
        <v>428</v>
      </c>
      <c r="N23" s="2">
        <f t="shared" si="7"/>
        <v>5</v>
      </c>
      <c r="O23" s="2">
        <f t="shared" si="8"/>
        <v>85.6</v>
      </c>
    </row>
    <row r="24" spans="1:15" ht="20" customHeight="1" x14ac:dyDescent="0.35">
      <c r="A24" s="3" t="s">
        <v>31</v>
      </c>
      <c r="B24" s="3">
        <v>39</v>
      </c>
      <c r="C24" s="3">
        <v>42</v>
      </c>
      <c r="D24" s="3">
        <v>35</v>
      </c>
      <c r="E24" s="3">
        <v>47</v>
      </c>
      <c r="F24" s="3">
        <v>40</v>
      </c>
      <c r="G24" s="2" t="str">
        <f t="shared" si="0"/>
        <v>PASS</v>
      </c>
      <c r="H24" s="2" t="str">
        <f t="shared" si="1"/>
        <v>FAIL</v>
      </c>
      <c r="I24" s="2" t="str">
        <f t="shared" si="2"/>
        <v>Not Eligible</v>
      </c>
      <c r="J24" s="2" t="str">
        <f t="shared" si="3"/>
        <v>Good</v>
      </c>
      <c r="K24" s="2" t="str">
        <f t="shared" si="4"/>
        <v>Pass</v>
      </c>
      <c r="L24" s="2" t="e">
        <f t="shared" si="5"/>
        <v>#DIV/0!</v>
      </c>
      <c r="M24" s="2">
        <f t="shared" si="6"/>
        <v>0</v>
      </c>
      <c r="N24" s="2">
        <f t="shared" si="7"/>
        <v>0</v>
      </c>
      <c r="O24" s="2">
        <f t="shared" si="8"/>
        <v>40.6</v>
      </c>
    </row>
    <row r="25" spans="1:15" ht="20" customHeight="1" x14ac:dyDescent="0.35">
      <c r="A25" s="3" t="s">
        <v>32</v>
      </c>
      <c r="B25" s="3">
        <v>96</v>
      </c>
      <c r="C25" s="3">
        <v>98</v>
      </c>
      <c r="D25" s="3">
        <v>97</v>
      </c>
      <c r="E25" s="3">
        <v>89</v>
      </c>
      <c r="F25" s="3">
        <v>95</v>
      </c>
      <c r="G25" s="2" t="str">
        <f t="shared" si="0"/>
        <v>PASS</v>
      </c>
      <c r="H25" s="2" t="str">
        <f t="shared" si="1"/>
        <v>EXCELLENT</v>
      </c>
      <c r="I25" s="2" t="str">
        <f t="shared" si="2"/>
        <v>Eligible</v>
      </c>
      <c r="J25" s="2" t="str">
        <f t="shared" si="3"/>
        <v>Excellent</v>
      </c>
      <c r="K25" s="2" t="str">
        <f t="shared" si="4"/>
        <v>Pass</v>
      </c>
      <c r="L25" s="2" t="e">
        <f t="shared" si="5"/>
        <v>#DIV/0!</v>
      </c>
      <c r="M25" s="2">
        <f t="shared" si="6"/>
        <v>475</v>
      </c>
      <c r="N25" s="2">
        <f t="shared" si="7"/>
        <v>5</v>
      </c>
      <c r="O25" s="2">
        <f t="shared" si="8"/>
        <v>95</v>
      </c>
    </row>
    <row r="26" spans="1:15" ht="20" customHeight="1" x14ac:dyDescent="0.35">
      <c r="A26" s="3" t="s">
        <v>33</v>
      </c>
      <c r="B26" s="3">
        <v>31</v>
      </c>
      <c r="C26" s="3">
        <v>27</v>
      </c>
      <c r="D26" s="3">
        <v>29</v>
      </c>
      <c r="E26" s="3">
        <v>40</v>
      </c>
      <c r="F26" s="3">
        <v>33</v>
      </c>
      <c r="G26" s="2" t="str">
        <f t="shared" si="0"/>
        <v>FAIL</v>
      </c>
      <c r="H26" s="2" t="str">
        <f t="shared" si="1"/>
        <v>POOR</v>
      </c>
      <c r="I26" s="2" t="str">
        <f t="shared" si="2"/>
        <v>Not Eligible</v>
      </c>
      <c r="J26" s="2" t="str">
        <f t="shared" si="3"/>
        <v>Good</v>
      </c>
      <c r="K26" s="2" t="str">
        <f t="shared" si="4"/>
        <v>Pass</v>
      </c>
      <c r="L26" s="2" t="str">
        <f>IF(D26/3,"ERROR","NO ERROR")</f>
        <v>ERROR</v>
      </c>
      <c r="M26" s="2">
        <f t="shared" si="6"/>
        <v>0</v>
      </c>
      <c r="N26" s="2">
        <f t="shared" si="7"/>
        <v>0</v>
      </c>
      <c r="O26" s="2">
        <f t="shared" si="8"/>
        <v>34.666666666666664</v>
      </c>
    </row>
    <row r="27" spans="1:15" ht="20" customHeight="1" x14ac:dyDescent="0.35">
      <c r="A27" s="3" t="s">
        <v>34</v>
      </c>
      <c r="B27" s="3">
        <v>85</v>
      </c>
      <c r="C27" s="3">
        <v>87</v>
      </c>
      <c r="D27" s="3">
        <v>89</v>
      </c>
      <c r="E27" s="3">
        <v>60</v>
      </c>
      <c r="F27" s="3">
        <v>84</v>
      </c>
      <c r="G27" s="2" t="str">
        <f t="shared" si="0"/>
        <v>PASS</v>
      </c>
      <c r="H27" s="2" t="str">
        <f t="shared" si="1"/>
        <v>EXCELLENT</v>
      </c>
      <c r="I27" s="2" t="str">
        <f t="shared" si="2"/>
        <v>Eligible</v>
      </c>
      <c r="J27" s="2" t="str">
        <f t="shared" si="3"/>
        <v>Good</v>
      </c>
      <c r="K27" s="2" t="str">
        <f t="shared" si="4"/>
        <v>Pass</v>
      </c>
      <c r="L27" s="2" t="e">
        <f t="shared" si="5"/>
        <v>#DIV/0!</v>
      </c>
      <c r="M27" s="2">
        <f t="shared" si="6"/>
        <v>345</v>
      </c>
      <c r="N27" s="2">
        <f t="shared" si="7"/>
        <v>4</v>
      </c>
      <c r="O27" s="2">
        <f t="shared" si="8"/>
        <v>81</v>
      </c>
    </row>
    <row r="28" spans="1:15" ht="20" customHeight="1" x14ac:dyDescent="0.35">
      <c r="A28" s="3" t="s">
        <v>35</v>
      </c>
      <c r="B28" s="3">
        <v>73</v>
      </c>
      <c r="C28" s="3">
        <v>76</v>
      </c>
      <c r="D28" s="3">
        <v>74</v>
      </c>
      <c r="E28" s="3">
        <v>60</v>
      </c>
      <c r="F28" s="3">
        <v>72</v>
      </c>
      <c r="G28" s="2" t="str">
        <f t="shared" si="0"/>
        <v>PASS</v>
      </c>
      <c r="H28" s="2" t="str">
        <f t="shared" si="1"/>
        <v>GOOD</v>
      </c>
      <c r="I28" s="2" t="str">
        <f t="shared" si="2"/>
        <v>Eligible</v>
      </c>
      <c r="J28" s="2" t="str">
        <f t="shared" si="3"/>
        <v>Good</v>
      </c>
      <c r="K28" s="2" t="str">
        <f t="shared" si="4"/>
        <v>Pass</v>
      </c>
      <c r="L28" s="2" t="e">
        <f t="shared" si="5"/>
        <v>#DIV/0!</v>
      </c>
      <c r="M28" s="2">
        <f t="shared" si="6"/>
        <v>295</v>
      </c>
      <c r="N28" s="2">
        <f t="shared" si="7"/>
        <v>4</v>
      </c>
      <c r="O28" s="2">
        <f t="shared" si="8"/>
        <v>71</v>
      </c>
    </row>
    <row r="29" spans="1:15" ht="20" customHeight="1" x14ac:dyDescent="0.35">
      <c r="A29" s="3" t="s">
        <v>36</v>
      </c>
      <c r="B29" s="3">
        <v>94</v>
      </c>
      <c r="C29" s="3">
        <v>96</v>
      </c>
      <c r="D29" s="3">
        <v>95</v>
      </c>
      <c r="E29" s="3">
        <v>59</v>
      </c>
      <c r="F29" s="3">
        <v>93</v>
      </c>
      <c r="G29" s="2" t="str">
        <f t="shared" si="0"/>
        <v>PASS</v>
      </c>
      <c r="H29" s="2" t="str">
        <f t="shared" si="1"/>
        <v>EXCELLENT</v>
      </c>
      <c r="I29" s="2" t="str">
        <f t="shared" si="2"/>
        <v>Eligible</v>
      </c>
      <c r="J29" s="2" t="str">
        <f t="shared" si="3"/>
        <v>Excellent</v>
      </c>
      <c r="K29" s="2" t="str">
        <f t="shared" si="4"/>
        <v>Pass</v>
      </c>
      <c r="L29" s="2" t="str">
        <f>IF(D29/5,"ERROR","NO ERROR")</f>
        <v>ERROR</v>
      </c>
      <c r="M29" s="2">
        <f t="shared" si="6"/>
        <v>378</v>
      </c>
      <c r="N29" s="2">
        <f t="shared" si="7"/>
        <v>4</v>
      </c>
      <c r="O29" s="2">
        <f t="shared" si="8"/>
        <v>87.4</v>
      </c>
    </row>
    <row r="30" spans="1:15" ht="20" customHeight="1" x14ac:dyDescent="0.35">
      <c r="A30" s="3" t="s">
        <v>37</v>
      </c>
      <c r="B30" s="3">
        <v>46</v>
      </c>
      <c r="C30" s="3">
        <v>49</v>
      </c>
      <c r="D30" s="3">
        <v>45</v>
      </c>
      <c r="E30" s="3">
        <v>48</v>
      </c>
      <c r="F30" s="3">
        <v>44</v>
      </c>
      <c r="G30" s="2" t="str">
        <f t="shared" si="0"/>
        <v>PASS</v>
      </c>
      <c r="H30" s="2" t="str">
        <f t="shared" si="1"/>
        <v>FAIL</v>
      </c>
      <c r="I30" s="2" t="str">
        <f t="shared" si="2"/>
        <v>Eligible</v>
      </c>
      <c r="J30" s="2" t="str">
        <f t="shared" si="3"/>
        <v>Good</v>
      </c>
      <c r="K30" s="2" t="str">
        <f t="shared" si="4"/>
        <v>Pass</v>
      </c>
      <c r="L30" s="2" t="e">
        <f t="shared" si="5"/>
        <v>#DIV/0!</v>
      </c>
      <c r="M30" s="2">
        <f t="shared" si="6"/>
        <v>0</v>
      </c>
      <c r="N30" s="2">
        <f t="shared" si="7"/>
        <v>0</v>
      </c>
      <c r="O30" s="2">
        <f t="shared" si="8"/>
        <v>46.4</v>
      </c>
    </row>
    <row r="31" spans="1:15" ht="20" customHeight="1" x14ac:dyDescent="0.35">
      <c r="A31" s="3" t="s">
        <v>38</v>
      </c>
      <c r="B31" s="3">
        <v>88</v>
      </c>
      <c r="C31" s="3">
        <v>90</v>
      </c>
      <c r="D31" s="3">
        <v>91</v>
      </c>
      <c r="E31" s="3">
        <v>94</v>
      </c>
      <c r="F31" s="3">
        <v>89</v>
      </c>
      <c r="G31" s="2" t="str">
        <f t="shared" si="0"/>
        <v>PASS</v>
      </c>
      <c r="H31" s="2" t="str">
        <f t="shared" si="1"/>
        <v>EXCELLENT</v>
      </c>
      <c r="I31" s="2" t="str">
        <f t="shared" si="2"/>
        <v>Eligible</v>
      </c>
      <c r="J31" s="2" t="str">
        <f t="shared" si="3"/>
        <v>Excellent</v>
      </c>
      <c r="K31" s="2" t="str">
        <f t="shared" si="4"/>
        <v>Pass</v>
      </c>
      <c r="L31" s="2" t="e">
        <f t="shared" si="5"/>
        <v>#DIV/0!</v>
      </c>
      <c r="M31" s="2">
        <f t="shared" si="6"/>
        <v>452</v>
      </c>
      <c r="N31" s="2">
        <f t="shared" si="7"/>
        <v>5</v>
      </c>
      <c r="O31" s="2">
        <f t="shared" si="8"/>
        <v>90.4</v>
      </c>
    </row>
    <row r="32" spans="1:15" ht="20" customHeight="1" x14ac:dyDescent="0.35">
      <c r="A32" s="3" t="s">
        <v>39</v>
      </c>
      <c r="B32" s="3">
        <v>79</v>
      </c>
      <c r="C32" s="3">
        <v>81</v>
      </c>
      <c r="D32" s="3">
        <v>80</v>
      </c>
      <c r="E32" s="3">
        <v>65</v>
      </c>
      <c r="F32" s="3">
        <v>78</v>
      </c>
      <c r="G32" s="2" t="str">
        <f t="shared" si="0"/>
        <v>PASS</v>
      </c>
      <c r="H32" s="2" t="str">
        <f t="shared" si="1"/>
        <v>EXCELLENT</v>
      </c>
      <c r="I32" s="2" t="str">
        <f t="shared" si="2"/>
        <v>Eligible</v>
      </c>
      <c r="J32" s="2" t="str">
        <f t="shared" si="3"/>
        <v>Good</v>
      </c>
      <c r="K32" s="2" t="str">
        <f t="shared" si="4"/>
        <v>Pass</v>
      </c>
      <c r="L32" s="2" t="e">
        <f t="shared" si="5"/>
        <v>#DIV/0!</v>
      </c>
      <c r="M32" s="2">
        <f t="shared" si="6"/>
        <v>318</v>
      </c>
      <c r="N32" s="2">
        <f t="shared" si="7"/>
        <v>4</v>
      </c>
      <c r="O32" s="2">
        <f t="shared" si="8"/>
        <v>76.599999999999994</v>
      </c>
    </row>
    <row r="33" spans="1:15" ht="20" customHeight="1" x14ac:dyDescent="0.35">
      <c r="A33" s="3" t="s">
        <v>40</v>
      </c>
      <c r="B33" s="3">
        <v>91</v>
      </c>
      <c r="C33" s="3">
        <v>92</v>
      </c>
      <c r="D33" s="3">
        <v>93</v>
      </c>
      <c r="E33" s="3">
        <v>78</v>
      </c>
      <c r="F33" s="3">
        <v>90</v>
      </c>
      <c r="G33" s="2" t="str">
        <f t="shared" si="0"/>
        <v>PASS</v>
      </c>
      <c r="H33" s="2" t="str">
        <f t="shared" si="1"/>
        <v>EXCELLENT</v>
      </c>
      <c r="I33" s="2" t="str">
        <f t="shared" si="2"/>
        <v>Eligible</v>
      </c>
      <c r="J33" s="2" t="str">
        <f t="shared" si="3"/>
        <v>Excellent</v>
      </c>
      <c r="K33" s="2" t="str">
        <f t="shared" si="4"/>
        <v>Pass</v>
      </c>
      <c r="L33" s="2" t="e">
        <f t="shared" si="5"/>
        <v>#DIV/0!</v>
      </c>
      <c r="M33" s="2">
        <f t="shared" si="6"/>
        <v>444</v>
      </c>
      <c r="N33" s="2">
        <f t="shared" si="7"/>
        <v>5</v>
      </c>
      <c r="O33" s="2">
        <f t="shared" si="8"/>
        <v>88.8</v>
      </c>
    </row>
    <row r="34" spans="1:15" ht="20" customHeight="1" x14ac:dyDescent="0.35">
      <c r="A34" s="3" t="s">
        <v>41</v>
      </c>
      <c r="B34" s="3">
        <v>37</v>
      </c>
      <c r="C34" s="3">
        <v>39</v>
      </c>
      <c r="D34" s="3">
        <v>41</v>
      </c>
      <c r="E34" s="3">
        <v>35</v>
      </c>
      <c r="F34" s="3">
        <v>38</v>
      </c>
      <c r="G34" s="2" t="str">
        <f t="shared" si="0"/>
        <v>PASS</v>
      </c>
      <c r="H34" s="2" t="str">
        <f t="shared" si="1"/>
        <v>FAIL</v>
      </c>
      <c r="I34" s="2" t="str">
        <f t="shared" si="2"/>
        <v>Not Eligible</v>
      </c>
      <c r="J34" s="2" t="str">
        <f t="shared" si="3"/>
        <v>Good</v>
      </c>
      <c r="K34" s="2" t="str">
        <f t="shared" si="4"/>
        <v>Pass</v>
      </c>
      <c r="L34" s="2" t="e">
        <f t="shared" si="5"/>
        <v>#DIV/0!</v>
      </c>
      <c r="M34" s="2">
        <f t="shared" si="6"/>
        <v>0</v>
      </c>
      <c r="N34" s="2">
        <f t="shared" si="7"/>
        <v>0</v>
      </c>
      <c r="O34" s="2">
        <f t="shared" si="8"/>
        <v>38</v>
      </c>
    </row>
    <row r="35" spans="1:15" ht="20" customHeight="1" x14ac:dyDescent="0.35">
      <c r="A35" s="3" t="s">
        <v>42</v>
      </c>
      <c r="B35" s="3">
        <v>89</v>
      </c>
      <c r="C35" s="3">
        <v>91</v>
      </c>
      <c r="D35" s="3">
        <v>90</v>
      </c>
      <c r="E35" s="3">
        <v>45</v>
      </c>
      <c r="F35" s="3">
        <v>88</v>
      </c>
      <c r="G35" s="2" t="str">
        <f t="shared" si="0"/>
        <v>PASS</v>
      </c>
      <c r="H35" s="2" t="str">
        <f t="shared" si="1"/>
        <v>EXCELLENT</v>
      </c>
      <c r="I35" s="2" t="str">
        <f t="shared" si="2"/>
        <v>Eligible</v>
      </c>
      <c r="J35" s="2" t="str">
        <f t="shared" si="3"/>
        <v>Good</v>
      </c>
      <c r="K35" s="2" t="str">
        <f t="shared" si="4"/>
        <v>Pass</v>
      </c>
      <c r="L35" s="2" t="e">
        <f t="shared" si="5"/>
        <v>#DIV/0!</v>
      </c>
      <c r="M35" s="2">
        <f t="shared" si="6"/>
        <v>358</v>
      </c>
      <c r="N35" s="2">
        <f t="shared" si="7"/>
        <v>4</v>
      </c>
      <c r="O35" s="2">
        <f t="shared" si="8"/>
        <v>80.599999999999994</v>
      </c>
    </row>
    <row r="36" spans="1:15" ht="20" customHeight="1" x14ac:dyDescent="0.35">
      <c r="A36" s="3" t="s">
        <v>43</v>
      </c>
      <c r="B36" s="3">
        <v>28</v>
      </c>
      <c r="C36" s="3">
        <v>32</v>
      </c>
      <c r="D36" s="3">
        <v>30</v>
      </c>
      <c r="E36" s="3">
        <v>37</v>
      </c>
      <c r="F36" s="3">
        <v>29</v>
      </c>
      <c r="G36" s="2" t="str">
        <f t="shared" si="0"/>
        <v>FAIL</v>
      </c>
      <c r="H36" s="2" t="str">
        <f t="shared" si="1"/>
        <v>FAIL</v>
      </c>
      <c r="I36" s="2" t="str">
        <f t="shared" si="2"/>
        <v>Not Eligible</v>
      </c>
      <c r="J36" s="2" t="str">
        <f t="shared" si="3"/>
        <v>Good</v>
      </c>
      <c r="K36" s="2" t="str">
        <f t="shared" si="4"/>
        <v>Pass</v>
      </c>
      <c r="L36" s="2" t="str">
        <f>IF(D36/6,"ERROR","NO ERROR")</f>
        <v>ERROR</v>
      </c>
      <c r="M36" s="2">
        <f t="shared" si="6"/>
        <v>0</v>
      </c>
      <c r="N36" s="2">
        <f t="shared" si="7"/>
        <v>0</v>
      </c>
      <c r="O36" s="2">
        <f t="shared" si="8"/>
        <v>33</v>
      </c>
    </row>
    <row r="37" spans="1:15" ht="20" customHeight="1" x14ac:dyDescent="0.35">
      <c r="A37" s="3" t="s">
        <v>44</v>
      </c>
      <c r="B37" s="3">
        <v>92</v>
      </c>
      <c r="C37" s="3">
        <v>94</v>
      </c>
      <c r="D37" s="3">
        <v>93</v>
      </c>
      <c r="E37" s="3">
        <v>97</v>
      </c>
      <c r="F37" s="3">
        <v>91</v>
      </c>
      <c r="G37" s="2" t="str">
        <f t="shared" si="0"/>
        <v>PASS</v>
      </c>
      <c r="H37" s="2" t="str">
        <f t="shared" si="1"/>
        <v>EXCELLENT</v>
      </c>
      <c r="I37" s="2" t="str">
        <f t="shared" si="2"/>
        <v>Eligible</v>
      </c>
      <c r="J37" s="2" t="str">
        <f t="shared" si="3"/>
        <v>Excellent</v>
      </c>
      <c r="K37" s="2" t="str">
        <f t="shared" si="4"/>
        <v>Pass</v>
      </c>
      <c r="L37" s="2" t="e">
        <f>IF(D37/0,"ERROR","NO ERROR")</f>
        <v>#DIV/0!</v>
      </c>
      <c r="M37" s="2">
        <f t="shared" si="6"/>
        <v>467</v>
      </c>
      <c r="N37" s="2">
        <f t="shared" si="7"/>
        <v>5</v>
      </c>
      <c r="O37" s="2">
        <f t="shared" si="8"/>
        <v>93.4</v>
      </c>
    </row>
    <row r="38" spans="1:15" ht="20" customHeight="1" x14ac:dyDescent="0.35">
      <c r="A38" s="3" t="s">
        <v>45</v>
      </c>
      <c r="B38" s="3">
        <v>75</v>
      </c>
      <c r="C38" s="3">
        <v>78</v>
      </c>
      <c r="D38" s="3">
        <v>77</v>
      </c>
      <c r="E38" s="3">
        <v>82</v>
      </c>
      <c r="F38" s="3">
        <v>76</v>
      </c>
      <c r="G38" s="2" t="str">
        <f t="shared" si="0"/>
        <v>PASS</v>
      </c>
      <c r="H38" s="2" t="str">
        <f t="shared" si="1"/>
        <v>GOOD</v>
      </c>
      <c r="I38" s="2" t="str">
        <f t="shared" si="2"/>
        <v>Eligible</v>
      </c>
      <c r="J38" s="2" t="str">
        <f t="shared" si="3"/>
        <v>Good</v>
      </c>
      <c r="K38" s="2" t="str">
        <f t="shared" si="4"/>
        <v>Pass</v>
      </c>
      <c r="L38" s="2" t="e">
        <f t="shared" si="5"/>
        <v>#DIV/0!</v>
      </c>
      <c r="M38" s="2">
        <f t="shared" si="6"/>
        <v>388</v>
      </c>
      <c r="N38" s="2">
        <f t="shared" si="7"/>
        <v>5</v>
      </c>
      <c r="O38" s="2">
        <f t="shared" si="8"/>
        <v>77.599999999999994</v>
      </c>
    </row>
    <row r="39" spans="1:15" ht="20" customHeight="1" x14ac:dyDescent="0.35">
      <c r="A39" s="3" t="s">
        <v>46</v>
      </c>
      <c r="B39" s="3">
        <v>97</v>
      </c>
      <c r="C39" s="3">
        <v>99</v>
      </c>
      <c r="D39" s="3">
        <v>98</v>
      </c>
      <c r="E39" s="3">
        <v>60</v>
      </c>
      <c r="F39" s="3">
        <v>96</v>
      </c>
      <c r="G39" s="2" t="str">
        <f t="shared" si="0"/>
        <v>PASS</v>
      </c>
      <c r="H39" s="2" t="str">
        <f t="shared" si="1"/>
        <v>EXCELLENT</v>
      </c>
      <c r="I39" s="2" t="str">
        <f t="shared" si="2"/>
        <v>Eligible</v>
      </c>
      <c r="J39" s="2" t="str">
        <f t="shared" si="3"/>
        <v>Excellent</v>
      </c>
      <c r="K39" s="2" t="str">
        <f t="shared" si="4"/>
        <v>Pass</v>
      </c>
      <c r="L39" s="2" t="e">
        <f t="shared" si="5"/>
        <v>#DIV/0!</v>
      </c>
      <c r="M39" s="2">
        <f t="shared" si="6"/>
        <v>390</v>
      </c>
      <c r="N39" s="2">
        <f t="shared" si="7"/>
        <v>4</v>
      </c>
      <c r="O39" s="2">
        <f t="shared" si="8"/>
        <v>90</v>
      </c>
    </row>
    <row r="40" spans="1:15" ht="20" customHeight="1" x14ac:dyDescent="0.35">
      <c r="A40" s="3" t="s">
        <v>47</v>
      </c>
      <c r="B40" s="3">
        <v>43</v>
      </c>
      <c r="C40" s="3">
        <v>45</v>
      </c>
      <c r="D40" s="3">
        <v>47</v>
      </c>
      <c r="E40" s="3">
        <v>42</v>
      </c>
      <c r="F40" s="3">
        <v>40</v>
      </c>
      <c r="G40" s="2" t="str">
        <f t="shared" si="0"/>
        <v>PASS</v>
      </c>
      <c r="H40" s="2" t="str">
        <f t="shared" si="1"/>
        <v>FAIL</v>
      </c>
      <c r="I40" s="2" t="str">
        <f t="shared" si="2"/>
        <v>Eligible</v>
      </c>
      <c r="J40" s="2" t="str">
        <f t="shared" si="3"/>
        <v>Good</v>
      </c>
      <c r="K40" s="2" t="str">
        <f t="shared" si="4"/>
        <v>Pass</v>
      </c>
      <c r="L40" s="2" t="e">
        <f t="shared" si="5"/>
        <v>#DIV/0!</v>
      </c>
      <c r="M40" s="2">
        <f t="shared" si="6"/>
        <v>0</v>
      </c>
      <c r="N40" s="2">
        <f t="shared" si="7"/>
        <v>0</v>
      </c>
      <c r="O40" s="2">
        <f t="shared" si="8"/>
        <v>43.4</v>
      </c>
    </row>
    <row r="41" spans="1:15" ht="20" customHeight="1" x14ac:dyDescent="0.35">
      <c r="A41" s="3" t="s">
        <v>48</v>
      </c>
      <c r="B41" s="3">
        <v>86</v>
      </c>
      <c r="C41" s="3">
        <v>88</v>
      </c>
      <c r="D41" s="3">
        <v>87</v>
      </c>
      <c r="E41" s="3">
        <v>50</v>
      </c>
      <c r="F41" s="3">
        <v>85</v>
      </c>
      <c r="G41" s="2" t="str">
        <f t="shared" si="0"/>
        <v>PASS</v>
      </c>
      <c r="H41" s="2" t="str">
        <f t="shared" si="1"/>
        <v>EXCELLENT</v>
      </c>
      <c r="I41" s="2" t="str">
        <f t="shared" si="2"/>
        <v>Eligible</v>
      </c>
      <c r="J41" s="2" t="str">
        <f t="shared" si="3"/>
        <v>Good</v>
      </c>
      <c r="K41" s="2" t="str">
        <f t="shared" si="4"/>
        <v>Pass</v>
      </c>
      <c r="L41" s="2" t="e">
        <f t="shared" si="5"/>
        <v>#DIV/0!</v>
      </c>
      <c r="M41" s="2">
        <f t="shared" si="6"/>
        <v>346</v>
      </c>
      <c r="N41" s="2">
        <f t="shared" si="7"/>
        <v>4</v>
      </c>
      <c r="O41" s="2">
        <f t="shared" si="8"/>
        <v>79.2</v>
      </c>
    </row>
    <row r="42" spans="1:15" ht="20" customHeight="1" x14ac:dyDescent="0.35">
      <c r="A42" s="3" t="s">
        <v>49</v>
      </c>
      <c r="B42" s="3">
        <v>34</v>
      </c>
      <c r="C42" s="3">
        <v>29</v>
      </c>
      <c r="D42" s="3">
        <v>36</v>
      </c>
      <c r="E42" s="3">
        <v>31</v>
      </c>
      <c r="F42" s="3">
        <v>33</v>
      </c>
      <c r="G42" s="2" t="str">
        <f t="shared" si="0"/>
        <v>FAIL</v>
      </c>
      <c r="H42" s="2" t="str">
        <f t="shared" si="1"/>
        <v>POOR</v>
      </c>
      <c r="I42" s="2" t="str">
        <f t="shared" si="2"/>
        <v>Not Eligible</v>
      </c>
      <c r="J42" s="2" t="str">
        <f t="shared" si="3"/>
        <v>Good</v>
      </c>
      <c r="K42" s="2" t="str">
        <f t="shared" si="4"/>
        <v>Fail</v>
      </c>
      <c r="L42" s="2" t="str">
        <f>IF(D42/4,"ERROR","NO ERROR")</f>
        <v>ERROR</v>
      </c>
      <c r="M42" s="2">
        <f t="shared" si="6"/>
        <v>0</v>
      </c>
      <c r="N42" s="2">
        <f t="shared" si="7"/>
        <v>0</v>
      </c>
      <c r="O42" s="2">
        <f t="shared" si="8"/>
        <v>33.5</v>
      </c>
    </row>
    <row r="43" spans="1:15" ht="20" customHeight="1" x14ac:dyDescent="0.35">
      <c r="A43" s="3" t="s">
        <v>50</v>
      </c>
      <c r="B43" s="3">
        <v>90</v>
      </c>
      <c r="C43" s="3">
        <v>93</v>
      </c>
      <c r="D43" s="3">
        <v>92</v>
      </c>
      <c r="E43" s="3">
        <v>96</v>
      </c>
      <c r="F43" s="3">
        <v>91</v>
      </c>
      <c r="G43" s="2" t="str">
        <f t="shared" si="0"/>
        <v>PASS</v>
      </c>
      <c r="H43" s="2" t="str">
        <f t="shared" si="1"/>
        <v>EXCELLENT</v>
      </c>
      <c r="I43" s="2" t="str">
        <f t="shared" si="2"/>
        <v>Eligible</v>
      </c>
      <c r="J43" s="2" t="str">
        <f t="shared" si="3"/>
        <v>Excellent</v>
      </c>
      <c r="K43" s="2" t="str">
        <f t="shared" si="4"/>
        <v>Pass</v>
      </c>
      <c r="L43" s="2" t="e">
        <f t="shared" si="5"/>
        <v>#DIV/0!</v>
      </c>
      <c r="M43" s="2">
        <f t="shared" si="6"/>
        <v>462</v>
      </c>
      <c r="N43" s="2">
        <f t="shared" si="7"/>
        <v>5</v>
      </c>
      <c r="O43" s="2">
        <f t="shared" si="8"/>
        <v>92.4</v>
      </c>
    </row>
    <row r="44" spans="1:15" ht="20" customHeight="1" x14ac:dyDescent="0.35">
      <c r="A44" s="3" t="s">
        <v>51</v>
      </c>
      <c r="B44" s="3">
        <v>78</v>
      </c>
      <c r="C44" s="3">
        <v>80</v>
      </c>
      <c r="D44" s="3">
        <v>81</v>
      </c>
      <c r="E44" s="3">
        <v>64</v>
      </c>
      <c r="F44" s="3">
        <v>79</v>
      </c>
      <c r="G44" s="2" t="str">
        <f t="shared" si="0"/>
        <v>PASS</v>
      </c>
      <c r="H44" s="2" t="str">
        <f t="shared" si="1"/>
        <v>EXCELLENT</v>
      </c>
      <c r="I44" s="2" t="str">
        <f t="shared" si="2"/>
        <v>Eligible</v>
      </c>
      <c r="J44" s="2" t="str">
        <f t="shared" si="3"/>
        <v>Good</v>
      </c>
      <c r="K44" s="2" t="str">
        <f t="shared" si="4"/>
        <v>Pass</v>
      </c>
      <c r="L44" s="2" t="e">
        <f t="shared" si="5"/>
        <v>#DIV/0!</v>
      </c>
      <c r="M44" s="2">
        <f t="shared" si="6"/>
        <v>318</v>
      </c>
      <c r="N44" s="2">
        <f t="shared" si="7"/>
        <v>4</v>
      </c>
      <c r="O44" s="2">
        <f t="shared" si="8"/>
        <v>76.400000000000006</v>
      </c>
    </row>
    <row r="45" spans="1:15" ht="20" customHeight="1" x14ac:dyDescent="0.35">
      <c r="A45" s="3" t="s">
        <v>52</v>
      </c>
      <c r="B45" s="3">
        <v>94</v>
      </c>
      <c r="C45" s="3">
        <v>95</v>
      </c>
      <c r="D45" s="3">
        <v>96</v>
      </c>
      <c r="E45" s="3">
        <v>68</v>
      </c>
      <c r="F45" s="3">
        <v>93</v>
      </c>
      <c r="G45" s="2" t="str">
        <f t="shared" si="0"/>
        <v>PASS</v>
      </c>
      <c r="H45" s="2" t="str">
        <f t="shared" si="1"/>
        <v>EXCELLENT</v>
      </c>
      <c r="I45" s="2" t="str">
        <f t="shared" si="2"/>
        <v>Eligible</v>
      </c>
      <c r="J45" s="2" t="str">
        <f t="shared" si="3"/>
        <v>Excellent</v>
      </c>
      <c r="K45" s="2" t="str">
        <f t="shared" si="4"/>
        <v>Pass</v>
      </c>
      <c r="L45" s="2" t="e">
        <f t="shared" si="5"/>
        <v>#DIV/0!</v>
      </c>
      <c r="M45" s="2">
        <f t="shared" si="6"/>
        <v>378</v>
      </c>
      <c r="N45" s="2">
        <f t="shared" si="7"/>
        <v>4</v>
      </c>
      <c r="O45" s="2">
        <f t="shared" si="8"/>
        <v>89.2</v>
      </c>
    </row>
    <row r="46" spans="1:15" ht="20" customHeight="1" x14ac:dyDescent="0.35">
      <c r="A46" s="3" t="s">
        <v>53</v>
      </c>
      <c r="B46" s="3">
        <v>40</v>
      </c>
      <c r="C46" s="3">
        <v>35</v>
      </c>
      <c r="D46" s="3">
        <v>38</v>
      </c>
      <c r="E46" s="3">
        <v>43</v>
      </c>
      <c r="F46" s="3">
        <v>36</v>
      </c>
      <c r="G46" s="2" t="str">
        <f t="shared" si="0"/>
        <v>PASS</v>
      </c>
      <c r="H46" s="2" t="str">
        <f t="shared" si="1"/>
        <v>FAIL</v>
      </c>
      <c r="I46" s="2" t="str">
        <f t="shared" si="2"/>
        <v>Not Eligible</v>
      </c>
      <c r="J46" s="2" t="str">
        <f t="shared" si="3"/>
        <v>Good</v>
      </c>
      <c r="K46" s="2" t="str">
        <f t="shared" si="4"/>
        <v>Pass</v>
      </c>
      <c r="L46" s="2" t="e">
        <f t="shared" si="5"/>
        <v>#DIV/0!</v>
      </c>
      <c r="M46" s="2">
        <f t="shared" si="6"/>
        <v>0</v>
      </c>
      <c r="N46" s="2">
        <f t="shared" si="7"/>
        <v>0</v>
      </c>
      <c r="O46" s="2">
        <f t="shared" si="8"/>
        <v>38.4</v>
      </c>
    </row>
    <row r="47" spans="1:15" ht="20" customHeight="1" x14ac:dyDescent="0.35">
      <c r="A47" s="3" t="s">
        <v>54</v>
      </c>
      <c r="B47" s="3">
        <v>88</v>
      </c>
      <c r="C47" s="3">
        <v>90</v>
      </c>
      <c r="D47" s="3">
        <v>89</v>
      </c>
      <c r="E47" s="3">
        <v>94</v>
      </c>
      <c r="F47" s="3">
        <v>87</v>
      </c>
      <c r="G47" s="2" t="str">
        <f t="shared" si="0"/>
        <v>PASS</v>
      </c>
      <c r="H47" s="2" t="str">
        <f t="shared" si="1"/>
        <v>EXCELLENT</v>
      </c>
      <c r="I47" s="2" t="str">
        <f t="shared" si="2"/>
        <v>Eligible</v>
      </c>
      <c r="J47" s="2" t="str">
        <f t="shared" si="3"/>
        <v>Excellent</v>
      </c>
      <c r="K47" s="2" t="str">
        <f t="shared" si="4"/>
        <v>Pass</v>
      </c>
      <c r="L47" s="2" t="str">
        <f>IF(D47/5,"ERROR","NO ERROR")</f>
        <v>ERROR</v>
      </c>
      <c r="M47" s="2">
        <f t="shared" si="6"/>
        <v>448</v>
      </c>
      <c r="N47" s="2">
        <f t="shared" si="7"/>
        <v>5</v>
      </c>
      <c r="O47" s="2">
        <f t="shared" si="8"/>
        <v>89.6</v>
      </c>
    </row>
    <row r="48" spans="1:15" ht="20" customHeight="1" x14ac:dyDescent="0.35">
      <c r="A48" s="3" t="s">
        <v>55</v>
      </c>
      <c r="B48" s="3">
        <v>32</v>
      </c>
      <c r="C48" s="3">
        <v>44</v>
      </c>
      <c r="D48" s="3">
        <v>28</v>
      </c>
      <c r="E48" s="3">
        <v>39</v>
      </c>
      <c r="F48" s="3">
        <v>41</v>
      </c>
      <c r="G48" s="2" t="str">
        <f t="shared" si="0"/>
        <v>FAIL</v>
      </c>
      <c r="H48" s="2" t="str">
        <f t="shared" si="1"/>
        <v>FAIL</v>
      </c>
      <c r="I48" s="2" t="str">
        <f t="shared" si="2"/>
        <v>Not Eligible</v>
      </c>
      <c r="J48" s="2" t="str">
        <f t="shared" si="3"/>
        <v>Good</v>
      </c>
      <c r="K48" s="2" t="str">
        <f t="shared" si="4"/>
        <v>Pass</v>
      </c>
      <c r="L48" s="2" t="e">
        <f t="shared" si="5"/>
        <v>#DIV/0!</v>
      </c>
      <c r="M48" s="2">
        <f t="shared" si="6"/>
        <v>0</v>
      </c>
      <c r="N48" s="2">
        <f t="shared" si="7"/>
        <v>0</v>
      </c>
      <c r="O48" s="2">
        <f t="shared" si="8"/>
        <v>39</v>
      </c>
    </row>
    <row r="49" spans="1:15" ht="20" customHeight="1" x14ac:dyDescent="0.35">
      <c r="A49" s="3" t="s">
        <v>56</v>
      </c>
      <c r="B49" s="3">
        <v>93</v>
      </c>
      <c r="C49" s="3">
        <v>95</v>
      </c>
      <c r="D49" s="3">
        <v>94</v>
      </c>
      <c r="E49" s="3">
        <v>67</v>
      </c>
      <c r="F49" s="3">
        <v>92</v>
      </c>
      <c r="G49" s="2" t="str">
        <f t="shared" si="0"/>
        <v>PASS</v>
      </c>
      <c r="H49" s="2" t="str">
        <f t="shared" si="1"/>
        <v>EXCELLENT</v>
      </c>
      <c r="I49" s="2" t="str">
        <f t="shared" si="2"/>
        <v>Eligible</v>
      </c>
      <c r="J49" s="2" t="str">
        <f t="shared" si="3"/>
        <v>Excellent</v>
      </c>
      <c r="K49" s="2" t="str">
        <f t="shared" si="4"/>
        <v>Pass</v>
      </c>
      <c r="L49" s="2" t="e">
        <f t="shared" si="5"/>
        <v>#DIV/0!</v>
      </c>
      <c r="M49" s="2">
        <f t="shared" si="6"/>
        <v>374</v>
      </c>
      <c r="N49" s="2">
        <f t="shared" si="7"/>
        <v>4</v>
      </c>
      <c r="O49" s="2">
        <f t="shared" si="8"/>
        <v>88.2</v>
      </c>
    </row>
    <row r="50" spans="1:15" ht="20" customHeight="1" x14ac:dyDescent="0.35">
      <c r="A50" s="3" t="s">
        <v>57</v>
      </c>
      <c r="B50" s="3">
        <v>27</v>
      </c>
      <c r="C50" s="3">
        <v>31</v>
      </c>
      <c r="D50" s="3">
        <v>34</v>
      </c>
      <c r="E50" s="3">
        <v>29</v>
      </c>
      <c r="F50" s="3">
        <v>30</v>
      </c>
      <c r="G50" s="2" t="str">
        <f t="shared" si="0"/>
        <v>FAIL</v>
      </c>
      <c r="H50" s="2" t="str">
        <f t="shared" si="1"/>
        <v>FAIL</v>
      </c>
      <c r="I50" s="2" t="str">
        <f t="shared" si="2"/>
        <v>Not Eligible</v>
      </c>
      <c r="J50" s="2" t="str">
        <f t="shared" si="3"/>
        <v>Good</v>
      </c>
      <c r="K50" s="2" t="str">
        <f t="shared" si="4"/>
        <v>Fail</v>
      </c>
      <c r="L50" s="2" t="e">
        <f t="shared" si="5"/>
        <v>#DIV/0!</v>
      </c>
      <c r="M50" s="2">
        <f t="shared" si="6"/>
        <v>0</v>
      </c>
      <c r="N50" s="2">
        <f t="shared" si="7"/>
        <v>0</v>
      </c>
      <c r="O50" s="2">
        <f t="shared" si="8"/>
        <v>31.666666666666668</v>
      </c>
    </row>
    <row r="51" spans="1:15" ht="20" customHeight="1" x14ac:dyDescent="0.35">
      <c r="A51" s="3" t="s">
        <v>58</v>
      </c>
      <c r="B51" s="3">
        <v>91</v>
      </c>
      <c r="C51" s="3">
        <v>92</v>
      </c>
      <c r="D51" s="3">
        <v>93</v>
      </c>
      <c r="E51" s="3">
        <v>45</v>
      </c>
      <c r="F51" s="3">
        <v>90</v>
      </c>
      <c r="G51" s="2" t="str">
        <f t="shared" si="0"/>
        <v>PASS</v>
      </c>
      <c r="H51" s="2" t="str">
        <f t="shared" si="1"/>
        <v>EXCELLENT</v>
      </c>
      <c r="I51" s="2" t="str">
        <f t="shared" si="2"/>
        <v>Eligible</v>
      </c>
      <c r="J51" s="2" t="str">
        <f t="shared" si="3"/>
        <v>Excellent</v>
      </c>
      <c r="K51" s="2" t="str">
        <f t="shared" si="4"/>
        <v>Pass</v>
      </c>
      <c r="L51" s="2" t="e">
        <f t="shared" si="5"/>
        <v>#DIV/0!</v>
      </c>
      <c r="M51" s="2">
        <f t="shared" si="6"/>
        <v>366</v>
      </c>
      <c r="N51" s="2">
        <f t="shared" si="7"/>
        <v>4</v>
      </c>
      <c r="O51" s="2">
        <f t="shared" si="8"/>
        <v>82.2</v>
      </c>
    </row>
    <row r="53" spans="1:15" x14ac:dyDescent="0.35">
      <c r="A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Sukhleen Kaur</dc:creator>
  <cp:lastModifiedBy>Sukhleen Kaur</cp:lastModifiedBy>
  <dcterms:created xsi:type="dcterms:W3CDTF">2026-07-17T09:30:57Z</dcterms:created>
  <dcterms:modified xsi:type="dcterms:W3CDTF">2026-07-26T07:43:05Z</dcterms:modified>
</cp:coreProperties>
</file>